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enzinpaljor/Desktop/Personal /Data Analyse with Yang/Sample/"/>
    </mc:Choice>
  </mc:AlternateContent>
  <xr:revisionPtr revIDLastSave="0" documentId="13_ncr:1_{5A53D253-A878-8144-B215-DD9699B228F0}" xr6:coauthVersionLast="47" xr6:coauthVersionMax="47" xr10:uidLastSave="{00000000-0000-0000-0000-000000000000}"/>
  <bookViews>
    <workbookView xWindow="0" yWindow="760" windowWidth="15480" windowHeight="11640" xr2:uid="{00000000-000D-0000-FFFF-FFFF00000000}"/>
  </bookViews>
  <sheets>
    <sheet name="Micro_200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L41" i="1"/>
  <c r="K41" i="1"/>
  <c r="J41" i="1"/>
  <c r="I41" i="1"/>
  <c r="H41" i="1"/>
  <c r="G41" i="1"/>
  <c r="F41" i="1"/>
  <c r="E41" i="1"/>
  <c r="D41" i="1"/>
  <c r="C41" i="1"/>
  <c r="B41" i="1"/>
  <c r="N41" i="1" s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M21" i="1"/>
  <c r="L21" i="1"/>
  <c r="K21" i="1"/>
  <c r="J21" i="1"/>
  <c r="I21" i="1"/>
  <c r="H21" i="1"/>
  <c r="G21" i="1"/>
  <c r="F21" i="1"/>
  <c r="E21" i="1"/>
  <c r="D21" i="1"/>
  <c r="C21" i="1"/>
  <c r="B21" i="1"/>
  <c r="N21" i="1" s="1"/>
  <c r="N20" i="1"/>
  <c r="N19" i="1"/>
  <c r="N18" i="1"/>
  <c r="N17" i="1"/>
  <c r="N16" i="1"/>
  <c r="N15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N10" i="1"/>
  <c r="N9" i="1"/>
  <c r="N8" i="1"/>
  <c r="B22" i="1" l="1"/>
  <c r="N12" i="1"/>
  <c r="C22" i="1"/>
  <c r="D22" i="1"/>
  <c r="E22" i="1"/>
  <c r="F22" i="1"/>
  <c r="G22" i="1"/>
  <c r="H22" i="1"/>
  <c r="I22" i="1"/>
  <c r="J22" i="1"/>
  <c r="K22" i="1"/>
  <c r="L22" i="1"/>
  <c r="M22" i="1"/>
  <c r="M42" i="1" l="1"/>
  <c r="M43" i="1" s="1"/>
  <c r="M44" i="1" s="1"/>
  <c r="M23" i="1"/>
  <c r="L42" i="1"/>
  <c r="L43" i="1" s="1"/>
  <c r="L44" i="1" s="1"/>
  <c r="L23" i="1"/>
  <c r="K42" i="1"/>
  <c r="K43" i="1" s="1"/>
  <c r="K44" i="1" s="1"/>
  <c r="K23" i="1"/>
  <c r="J42" i="1"/>
  <c r="J43" i="1" s="1"/>
  <c r="J44" i="1" s="1"/>
  <c r="J23" i="1"/>
  <c r="I42" i="1"/>
  <c r="I43" i="1" s="1"/>
  <c r="I44" i="1" s="1"/>
  <c r="I23" i="1"/>
  <c r="H42" i="1"/>
  <c r="H43" i="1" s="1"/>
  <c r="H44" i="1" s="1"/>
  <c r="H23" i="1"/>
  <c r="G42" i="1"/>
  <c r="G43" i="1" s="1"/>
  <c r="G44" i="1" s="1"/>
  <c r="G23" i="1"/>
  <c r="F42" i="1"/>
  <c r="F43" i="1" s="1"/>
  <c r="F44" i="1" s="1"/>
  <c r="F23" i="1"/>
  <c r="E42" i="1"/>
  <c r="E43" i="1" s="1"/>
  <c r="E44" i="1" s="1"/>
  <c r="E23" i="1"/>
  <c r="D42" i="1"/>
  <c r="D43" i="1" s="1"/>
  <c r="D44" i="1" s="1"/>
  <c r="D23" i="1"/>
  <c r="C42" i="1"/>
  <c r="C43" i="1" s="1"/>
  <c r="C44" i="1" s="1"/>
  <c r="C23" i="1"/>
  <c r="N22" i="1"/>
  <c r="B42" i="1"/>
  <c r="B43" i="1" s="1"/>
  <c r="B44" i="1" s="1"/>
  <c r="B23" i="1"/>
  <c r="N42" i="1" l="1"/>
  <c r="N43" i="1" s="1"/>
  <c r="N44" i="1" s="1"/>
  <c r="N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Company website (for reference only). P&amp;L values are fictional sample data in QuickBooks-style format.</t>
        </r>
      </text>
    </comment>
  </commentList>
</comments>
</file>

<file path=xl/sharedStrings.xml><?xml version="1.0" encoding="utf-8"?>
<sst xmlns="http://schemas.openxmlformats.org/spreadsheetml/2006/main" count="55" uniqueCount="55">
  <si>
    <t>SoloDry Restoration (Sample) — Annual Revenue $200,000</t>
  </si>
  <si>
    <t>Training / benchmark sample (not actual competitor financials)</t>
  </si>
  <si>
    <t>Profit and Loss (QuickBooks-style) — By Month</t>
  </si>
  <si>
    <t>For the year ended 12/31/2025</t>
  </si>
  <si>
    <t>Account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</si>
  <si>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</si>
  <si>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</si>
  <si>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</si>
  <si>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</si>
  <si>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</si>
  <si>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</si>
  <si>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</si>
  <si>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</si>
  <si>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</si>
  <si>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</si>
  <si>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</si>
  <si>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</si>
  <si>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</si>
  <si>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Income</t>
  </si>
  <si>
    <t>4000 · Mitigation Revenue</t>
  </si>
  <si>
    <t>4010 · Reconstruction Revenue</t>
  </si>
  <si>
    <t>4020 · Contents / Pack-out Revenue</t>
  </si>
  <si>
    <t>4030 · Other Revenue</t>
  </si>
  <si>
    <t>Total Income</t>
  </si>
  <si>
    <t>Cost of Goods Sold</t>
  </si>
  <si>
    <t>5000 · Direct Labor</t>
  </si>
  <si>
    <t>5010 · Labor Burden (Taxes, WC, Benefits)</t>
  </si>
  <si>
    <t>5020 · Subcontractors</t>
  </si>
  <si>
    <t>5030 · Materials &amp; Supplies</t>
  </si>
  <si>
    <t>5040 · Equipment Rental</t>
  </si>
  <si>
    <t>5050 · Disposal / Dump Fees</t>
  </si>
  <si>
    <t>Total Cost of Goods Sold</t>
  </si>
  <si>
    <t>Gross Profit</t>
  </si>
  <si>
    <t>Gross Profit %</t>
  </si>
  <si>
    <t>Expenses</t>
  </si>
  <si>
    <t>6000 · Wages - Administrative / Indirect</t>
  </si>
  <si>
    <t>6010 · Payroll Taxes - Indirect</t>
  </si>
  <si>
    <t>6100 · Rent / Lease</t>
  </si>
  <si>
    <t>6110 · Utilities</t>
  </si>
  <si>
    <t>6120 · Insurance - General Liability</t>
  </si>
  <si>
    <t>6130 · Insurance - Auto</t>
  </si>
  <si>
    <t>6140 · Health / Benefits (Non-COGS)</t>
  </si>
  <si>
    <t>6200 · Vehicle Fuel &amp; Maintenance</t>
  </si>
  <si>
    <t>6300 · Marketing &amp; Advertising</t>
  </si>
  <si>
    <t>6400 · Office Supplies</t>
  </si>
  <si>
    <t>6410 · Software Subscriptions</t>
  </si>
  <si>
    <t>6500 · Professional Fees</t>
  </si>
  <si>
    <t>6600 · Repairs &amp; Maintenance</t>
  </si>
  <si>
    <t>6700 · Depreciation</t>
  </si>
  <si>
    <t>6900 · Miscellaneous</t>
  </si>
  <si>
    <t>Total Expenses</t>
  </si>
  <si>
    <t>Net Operating Income</t>
  </si>
  <si>
    <t>Net Income</t>
  </si>
  <si>
    <t>Net Income %</t>
  </si>
  <si>
    <t>NOTE: Figures are illustrative training samples (industry-realistic ratios), not the actual financial statements of any named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</si>
</sst>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[Red]\(\$#,##0\);&quot;-&quot;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u/>
      <sz val="10"/>
      <color rgb="FF1F4E79"/>
      <name val="Calibri"/>
      <family val="2"/>
    </font>
    <font>
      <b/>
      <sz val="14"/>
      <color rgb="FF000000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9"/>
      <color rgb="FF7F6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9E9E9E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164" fontId="8" fillId="2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 vertical="center"/>
    </xf>
    <xf numFmtId="165" fontId="7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right"/>
    </xf>
    <xf numFmtId="165" fontId="8" fillId="2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5" borderId="0" xfId="0" applyFont="1" applyFill="1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390525</xdr:colOff>
      <xdr:row>47</xdr:row>
      <xdr:rowOff>171450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DCC3420-DB1C-06F9-C496-E80AA9393AB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76200</xdr:colOff>
      <xdr:row>47</xdr:row>
      <xdr:rowOff>165100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5567F4D-4A5A-0B48-4793-9680003618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46" customWidth="1"/>
    <col min="2" max="14" width="13" customWidth="1"/>
  </cols>
  <sheetData>
    <row r="1" spans="1:14" ht="20" customHeight="1" x14ac:dyDescent="0.2">
      <c r="A1" s="18" t="s">
        <v>0</v>
      </c>
      <c r="B1" s="14"/>
    </row>
    <row r="2" spans="1:14" ht="18" customHeight="1" x14ac:dyDescent="0.2">
      <c r="A2" s="15" t="s">
        <v>1</v>
      </c>
      <c r="B2" s="14"/>
    </row>
    <row r="3" spans="1:14" ht="18" customHeight="1" x14ac:dyDescent="0.2">
      <c r="A3" s="16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8" customHeight="1" x14ac:dyDescent="0.2">
      <c r="A4" s="13" t="s">
        <v>3</v>
      </c>
      <c r="B4" s="14"/>
    </row>
    <row r="5" spans="1:14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8" customHeight="1" x14ac:dyDescent="0.2">
      <c r="A6" s="1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</row>
    <row r="7" spans="1:14" x14ac:dyDescent="0.2">
      <c r="A7" s="2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">
      <c r="A8" s="4" t="s">
        <v>19</v>
      </c>
      <c r="B8" s="10">
        <v>9860</v>
      </c>
      <c r="C8" s="10">
        <v>10508</v>
      </c>
      <c r="D8" s="10">
        <v>7035</v>
      </c>
      <c r="E8" s="10">
        <v>8494</v>
      </c>
      <c r="F8" s="10">
        <v>7163</v>
      </c>
      <c r="G8" s="10">
        <v>7237</v>
      </c>
      <c r="H8" s="10">
        <v>7635</v>
      </c>
      <c r="I8" s="10">
        <v>8175</v>
      </c>
      <c r="J8" s="10">
        <v>9458</v>
      </c>
      <c r="K8" s="10">
        <v>9222</v>
      </c>
      <c r="L8" s="10">
        <v>12241</v>
      </c>
      <c r="M8" s="10">
        <v>13415</v>
      </c>
      <c r="N8" s="10">
        <f>SUM(B8:M8)</f>
        <v>110443</v>
      </c>
    </row>
    <row r="9" spans="1:14" x14ac:dyDescent="0.2">
      <c r="A9" s="4" t="s">
        <v>20</v>
      </c>
      <c r="B9" s="10">
        <v>6004</v>
      </c>
      <c r="C9" s="10">
        <v>5997</v>
      </c>
      <c r="D9" s="10">
        <v>3965</v>
      </c>
      <c r="E9" s="10">
        <v>4495</v>
      </c>
      <c r="F9" s="10">
        <v>4299</v>
      </c>
      <c r="G9" s="10">
        <v>4187</v>
      </c>
      <c r="H9" s="10">
        <v>3732</v>
      </c>
      <c r="I9" s="10">
        <v>4505</v>
      </c>
      <c r="J9" s="10">
        <v>5208</v>
      </c>
      <c r="K9" s="10">
        <v>5188</v>
      </c>
      <c r="L9" s="10">
        <v>5531</v>
      </c>
      <c r="M9" s="10">
        <v>6927</v>
      </c>
      <c r="N9" s="10">
        <f>SUM(B9:M9)</f>
        <v>60038</v>
      </c>
    </row>
    <row r="10" spans="1:14" x14ac:dyDescent="0.2">
      <c r="A10" s="4" t="s">
        <v>21</v>
      </c>
      <c r="B10" s="10">
        <v>1614</v>
      </c>
      <c r="C10" s="10">
        <v>1930</v>
      </c>
      <c r="D10" s="10">
        <v>1243</v>
      </c>
      <c r="E10" s="10">
        <v>1525</v>
      </c>
      <c r="F10" s="10">
        <v>1338</v>
      </c>
      <c r="G10" s="10">
        <v>1348</v>
      </c>
      <c r="H10" s="10">
        <v>1204</v>
      </c>
      <c r="I10" s="10">
        <v>1418</v>
      </c>
      <c r="J10" s="10">
        <v>1781</v>
      </c>
      <c r="K10" s="10">
        <v>1799</v>
      </c>
      <c r="L10" s="10">
        <v>1879</v>
      </c>
      <c r="M10" s="10">
        <v>2339</v>
      </c>
      <c r="N10" s="10">
        <f>SUM(B10:M10)</f>
        <v>19418</v>
      </c>
    </row>
    <row r="11" spans="1:14" x14ac:dyDescent="0.2">
      <c r="A11" s="4" t="s">
        <v>22</v>
      </c>
      <c r="B11" s="10">
        <v>1001</v>
      </c>
      <c r="C11" s="10">
        <v>976</v>
      </c>
      <c r="D11" s="10">
        <v>613</v>
      </c>
      <c r="E11" s="10">
        <v>793</v>
      </c>
      <c r="F11" s="10">
        <v>686</v>
      </c>
      <c r="G11" s="10">
        <v>681</v>
      </c>
      <c r="H11" s="10">
        <v>624</v>
      </c>
      <c r="I11" s="10">
        <v>791</v>
      </c>
      <c r="J11" s="10">
        <v>896</v>
      </c>
      <c r="K11" s="10">
        <v>922</v>
      </c>
      <c r="L11" s="10">
        <v>966</v>
      </c>
      <c r="M11" s="10">
        <v>1151</v>
      </c>
      <c r="N11" s="10">
        <f>SUM(B11:M11)</f>
        <v>10100</v>
      </c>
    </row>
    <row r="12" spans="1:14" x14ac:dyDescent="0.2">
      <c r="A12" s="5" t="s">
        <v>23</v>
      </c>
      <c r="B12" s="11">
        <f t="shared" ref="B12:M12" si="0">SUM(B8:B11)</f>
        <v>18479</v>
      </c>
      <c r="C12" s="11">
        <f t="shared" si="0"/>
        <v>19411</v>
      </c>
      <c r="D12" s="11">
        <f t="shared" si="0"/>
        <v>12856</v>
      </c>
      <c r="E12" s="11">
        <f t="shared" si="0"/>
        <v>15307</v>
      </c>
      <c r="F12" s="11">
        <f t="shared" si="0"/>
        <v>13486</v>
      </c>
      <c r="G12" s="11">
        <f t="shared" si="0"/>
        <v>13453</v>
      </c>
      <c r="H12" s="11">
        <f t="shared" si="0"/>
        <v>13195</v>
      </c>
      <c r="I12" s="11">
        <f t="shared" si="0"/>
        <v>14889</v>
      </c>
      <c r="J12" s="11">
        <f t="shared" si="0"/>
        <v>17343</v>
      </c>
      <c r="K12" s="11">
        <f t="shared" si="0"/>
        <v>17131</v>
      </c>
      <c r="L12" s="11">
        <f t="shared" si="0"/>
        <v>20617</v>
      </c>
      <c r="M12" s="11">
        <f t="shared" si="0"/>
        <v>23832</v>
      </c>
      <c r="N12" s="11">
        <f>SUM(B12:M12)</f>
        <v>199999</v>
      </c>
    </row>
    <row r="14" spans="1:14" x14ac:dyDescent="0.2">
      <c r="A14" s="2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">
      <c r="A15" s="4" t="s">
        <v>25</v>
      </c>
      <c r="B15" s="10">
        <v>4853</v>
      </c>
      <c r="C15" s="10">
        <v>5448</v>
      </c>
      <c r="D15" s="10">
        <v>3236</v>
      </c>
      <c r="E15" s="10">
        <v>3966</v>
      </c>
      <c r="F15" s="10">
        <v>3455</v>
      </c>
      <c r="G15" s="10">
        <v>3607</v>
      </c>
      <c r="H15" s="10">
        <v>3751</v>
      </c>
      <c r="I15" s="10">
        <v>4383</v>
      </c>
      <c r="J15" s="10">
        <v>4814</v>
      </c>
      <c r="K15" s="10">
        <v>4552</v>
      </c>
      <c r="L15" s="10">
        <v>5723</v>
      </c>
      <c r="M15" s="10">
        <v>6339</v>
      </c>
      <c r="N15" s="10">
        <f t="shared" ref="N15:N21" si="1">SUM(B15:M15)</f>
        <v>54127</v>
      </c>
    </row>
    <row r="16" spans="1:14" x14ac:dyDescent="0.2">
      <c r="A16" s="4" t="s">
        <v>26</v>
      </c>
      <c r="B16" s="10">
        <v>1293</v>
      </c>
      <c r="C16" s="10">
        <v>1392</v>
      </c>
      <c r="D16" s="10">
        <v>910</v>
      </c>
      <c r="E16" s="10">
        <v>1034</v>
      </c>
      <c r="F16" s="10">
        <v>910</v>
      </c>
      <c r="G16" s="10">
        <v>909</v>
      </c>
      <c r="H16" s="10">
        <v>941</v>
      </c>
      <c r="I16" s="10">
        <v>1079</v>
      </c>
      <c r="J16" s="10">
        <v>1206</v>
      </c>
      <c r="K16" s="10">
        <v>1190</v>
      </c>
      <c r="L16" s="10">
        <v>1460</v>
      </c>
      <c r="M16" s="10">
        <v>1724</v>
      </c>
      <c r="N16" s="10">
        <f t="shared" si="1"/>
        <v>14048</v>
      </c>
    </row>
    <row r="17" spans="1:14" x14ac:dyDescent="0.2">
      <c r="A17" s="4" t="s">
        <v>27</v>
      </c>
      <c r="B17" s="10">
        <v>1459</v>
      </c>
      <c r="C17" s="10">
        <v>1568</v>
      </c>
      <c r="D17" s="10">
        <v>1052</v>
      </c>
      <c r="E17" s="10">
        <v>1255</v>
      </c>
      <c r="F17" s="10">
        <v>1146</v>
      </c>
      <c r="G17" s="10">
        <v>1038</v>
      </c>
      <c r="H17" s="10">
        <v>1027</v>
      </c>
      <c r="I17" s="10">
        <v>1148</v>
      </c>
      <c r="J17" s="10">
        <v>1359</v>
      </c>
      <c r="K17" s="10">
        <v>1404</v>
      </c>
      <c r="L17" s="10">
        <v>1709</v>
      </c>
      <c r="M17" s="10">
        <v>1942</v>
      </c>
      <c r="N17" s="10">
        <f t="shared" si="1"/>
        <v>16107</v>
      </c>
    </row>
    <row r="18" spans="1:14" x14ac:dyDescent="0.2">
      <c r="A18" s="4" t="s">
        <v>28</v>
      </c>
      <c r="B18" s="10">
        <v>2038</v>
      </c>
      <c r="C18" s="10">
        <v>2072</v>
      </c>
      <c r="D18" s="10">
        <v>1408</v>
      </c>
      <c r="E18" s="10">
        <v>1746</v>
      </c>
      <c r="F18" s="10">
        <v>1455</v>
      </c>
      <c r="G18" s="10">
        <v>1408</v>
      </c>
      <c r="H18" s="10">
        <v>1428</v>
      </c>
      <c r="I18" s="10">
        <v>1634</v>
      </c>
      <c r="J18" s="10">
        <v>1970</v>
      </c>
      <c r="K18" s="10">
        <v>1967</v>
      </c>
      <c r="L18" s="10">
        <v>2395</v>
      </c>
      <c r="M18" s="10">
        <v>2564</v>
      </c>
      <c r="N18" s="10">
        <f t="shared" si="1"/>
        <v>22085</v>
      </c>
    </row>
    <row r="19" spans="1:14" x14ac:dyDescent="0.2">
      <c r="A19" s="4" t="s">
        <v>29</v>
      </c>
      <c r="B19" s="10">
        <v>458</v>
      </c>
      <c r="C19" s="10">
        <v>488</v>
      </c>
      <c r="D19" s="10">
        <v>320</v>
      </c>
      <c r="E19" s="10">
        <v>382</v>
      </c>
      <c r="F19" s="10">
        <v>306</v>
      </c>
      <c r="G19" s="10">
        <v>335</v>
      </c>
      <c r="H19" s="10">
        <v>317</v>
      </c>
      <c r="I19" s="10">
        <v>373</v>
      </c>
      <c r="J19" s="10">
        <v>418</v>
      </c>
      <c r="K19" s="10">
        <v>432</v>
      </c>
      <c r="L19" s="10">
        <v>525</v>
      </c>
      <c r="M19" s="10">
        <v>631</v>
      </c>
      <c r="N19" s="10">
        <f t="shared" si="1"/>
        <v>4985</v>
      </c>
    </row>
    <row r="20" spans="1:14" x14ac:dyDescent="0.2">
      <c r="A20" s="4" t="s">
        <v>30</v>
      </c>
      <c r="B20" s="10">
        <v>235</v>
      </c>
      <c r="C20" s="10">
        <v>225</v>
      </c>
      <c r="D20" s="10">
        <v>155</v>
      </c>
      <c r="E20" s="10">
        <v>191</v>
      </c>
      <c r="F20" s="10">
        <v>155</v>
      </c>
      <c r="G20" s="10">
        <v>164</v>
      </c>
      <c r="H20" s="10">
        <v>168</v>
      </c>
      <c r="I20" s="10">
        <v>176</v>
      </c>
      <c r="J20" s="10">
        <v>196</v>
      </c>
      <c r="K20" s="10">
        <v>202</v>
      </c>
      <c r="L20" s="10">
        <v>242</v>
      </c>
      <c r="M20" s="10">
        <v>288</v>
      </c>
      <c r="N20" s="10">
        <f t="shared" si="1"/>
        <v>2397</v>
      </c>
    </row>
    <row r="21" spans="1:14" ht="15" customHeight="1" x14ac:dyDescent="0.2">
      <c r="A21" s="5" t="s">
        <v>31</v>
      </c>
      <c r="B21" s="11">
        <f t="shared" ref="B21:M21" si="2">SUM(B15:B20)</f>
        <v>10336</v>
      </c>
      <c r="C21" s="11">
        <f t="shared" si="2"/>
        <v>11193</v>
      </c>
      <c r="D21" s="11">
        <f t="shared" si="2"/>
        <v>7081</v>
      </c>
      <c r="E21" s="11">
        <f t="shared" si="2"/>
        <v>8574</v>
      </c>
      <c r="F21" s="11">
        <f t="shared" si="2"/>
        <v>7427</v>
      </c>
      <c r="G21" s="11">
        <f t="shared" si="2"/>
        <v>7461</v>
      </c>
      <c r="H21" s="11">
        <f t="shared" si="2"/>
        <v>7632</v>
      </c>
      <c r="I21" s="11">
        <f t="shared" si="2"/>
        <v>8793</v>
      </c>
      <c r="J21" s="11">
        <f t="shared" si="2"/>
        <v>9963</v>
      </c>
      <c r="K21" s="11">
        <f t="shared" si="2"/>
        <v>9747</v>
      </c>
      <c r="L21" s="11">
        <f t="shared" si="2"/>
        <v>12054</v>
      </c>
      <c r="M21" s="11">
        <f t="shared" si="2"/>
        <v>13488</v>
      </c>
      <c r="N21" s="11">
        <f t="shared" si="1"/>
        <v>113749</v>
      </c>
    </row>
    <row r="22" spans="1:14" x14ac:dyDescent="0.2">
      <c r="A22" s="6" t="s">
        <v>32</v>
      </c>
      <c r="B22" s="12">
        <f t="shared" ref="B22:N22" si="3">B12-B21</f>
        <v>8143</v>
      </c>
      <c r="C22" s="12">
        <f t="shared" si="3"/>
        <v>8218</v>
      </c>
      <c r="D22" s="12">
        <f t="shared" si="3"/>
        <v>5775</v>
      </c>
      <c r="E22" s="12">
        <f t="shared" si="3"/>
        <v>6733</v>
      </c>
      <c r="F22" s="12">
        <f t="shared" si="3"/>
        <v>6059</v>
      </c>
      <c r="G22" s="12">
        <f t="shared" si="3"/>
        <v>5992</v>
      </c>
      <c r="H22" s="12">
        <f t="shared" si="3"/>
        <v>5563</v>
      </c>
      <c r="I22" s="12">
        <f t="shared" si="3"/>
        <v>6096</v>
      </c>
      <c r="J22" s="12">
        <f t="shared" si="3"/>
        <v>7380</v>
      </c>
      <c r="K22" s="12">
        <f t="shared" si="3"/>
        <v>7384</v>
      </c>
      <c r="L22" s="12">
        <f t="shared" si="3"/>
        <v>8563</v>
      </c>
      <c r="M22" s="12">
        <f t="shared" si="3"/>
        <v>10344</v>
      </c>
      <c r="N22" s="12">
        <f t="shared" si="3"/>
        <v>86250</v>
      </c>
    </row>
    <row r="23" spans="1:14" x14ac:dyDescent="0.2">
      <c r="A23" s="7" t="s">
        <v>33</v>
      </c>
      <c r="B23" s="8">
        <f t="shared" ref="B23:N23" si="4">IF(B12=0,0,B22/B12)</f>
        <v>0.44066237350505982</v>
      </c>
      <c r="C23" s="8">
        <f t="shared" si="4"/>
        <v>0.42336819329246306</v>
      </c>
      <c r="D23" s="8">
        <f t="shared" si="4"/>
        <v>0.4492065961418793</v>
      </c>
      <c r="E23" s="8">
        <f t="shared" si="4"/>
        <v>0.43986411445743778</v>
      </c>
      <c r="F23" s="8">
        <f t="shared" si="4"/>
        <v>0.44928073557763609</v>
      </c>
      <c r="G23" s="8">
        <f t="shared" si="4"/>
        <v>0.44540251245075446</v>
      </c>
      <c r="H23" s="8">
        <f t="shared" si="4"/>
        <v>0.42159909056460781</v>
      </c>
      <c r="I23" s="8">
        <f t="shared" si="4"/>
        <v>0.40942978037477334</v>
      </c>
      <c r="J23" s="8">
        <f t="shared" si="4"/>
        <v>0.42553191489361702</v>
      </c>
      <c r="K23" s="8">
        <f t="shared" si="4"/>
        <v>0.43103146342887166</v>
      </c>
      <c r="L23" s="8">
        <f t="shared" si="4"/>
        <v>0.41533685793277392</v>
      </c>
      <c r="M23" s="8">
        <f t="shared" si="4"/>
        <v>0.43403826787512589</v>
      </c>
      <c r="N23" s="8">
        <f t="shared" si="4"/>
        <v>0.43125215626078128</v>
      </c>
    </row>
    <row r="25" spans="1:14" x14ac:dyDescent="0.2">
      <c r="A25" s="2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">
      <c r="A26" s="4" t="s">
        <v>35</v>
      </c>
      <c r="B26" s="10">
        <v>1848</v>
      </c>
      <c r="C26" s="10">
        <v>1941</v>
      </c>
      <c r="D26" s="10">
        <v>1286</v>
      </c>
      <c r="E26" s="10">
        <v>1531</v>
      </c>
      <c r="F26" s="10">
        <v>1349</v>
      </c>
      <c r="G26" s="10">
        <v>1345</v>
      </c>
      <c r="H26" s="10">
        <v>1320</v>
      </c>
      <c r="I26" s="10">
        <v>1489</v>
      </c>
      <c r="J26" s="10">
        <v>1734</v>
      </c>
      <c r="K26" s="10">
        <v>1713</v>
      </c>
      <c r="L26" s="10">
        <v>2062</v>
      </c>
      <c r="M26" s="10">
        <v>2383</v>
      </c>
      <c r="N26" s="10">
        <f t="shared" ref="N26:N41" si="5">SUM(B26:M26)</f>
        <v>20001</v>
      </c>
    </row>
    <row r="27" spans="1:14" x14ac:dyDescent="0.2">
      <c r="A27" s="4" t="s">
        <v>36</v>
      </c>
      <c r="B27" s="10">
        <v>259</v>
      </c>
      <c r="C27" s="10">
        <v>272</v>
      </c>
      <c r="D27" s="10">
        <v>180</v>
      </c>
      <c r="E27" s="10">
        <v>214</v>
      </c>
      <c r="F27" s="10">
        <v>189</v>
      </c>
      <c r="G27" s="10">
        <v>188</v>
      </c>
      <c r="H27" s="10">
        <v>185</v>
      </c>
      <c r="I27" s="10">
        <v>208</v>
      </c>
      <c r="J27" s="10">
        <v>243</v>
      </c>
      <c r="K27" s="10">
        <v>240</v>
      </c>
      <c r="L27" s="10">
        <v>289</v>
      </c>
      <c r="M27" s="10">
        <v>334</v>
      </c>
      <c r="N27" s="10">
        <f t="shared" si="5"/>
        <v>2801</v>
      </c>
    </row>
    <row r="28" spans="1:14" x14ac:dyDescent="0.2">
      <c r="A28" s="4" t="s">
        <v>37</v>
      </c>
      <c r="B28" s="10">
        <v>602</v>
      </c>
      <c r="C28" s="10">
        <v>601</v>
      </c>
      <c r="D28" s="10">
        <v>611</v>
      </c>
      <c r="E28" s="10">
        <v>606</v>
      </c>
      <c r="F28" s="10">
        <v>651</v>
      </c>
      <c r="G28" s="10">
        <v>618</v>
      </c>
      <c r="H28" s="10">
        <v>603</v>
      </c>
      <c r="I28" s="10">
        <v>594</v>
      </c>
      <c r="J28" s="10">
        <v>610</v>
      </c>
      <c r="K28" s="10">
        <v>628</v>
      </c>
      <c r="L28" s="10">
        <v>619</v>
      </c>
      <c r="M28" s="10">
        <v>589</v>
      </c>
      <c r="N28" s="10">
        <f t="shared" si="5"/>
        <v>7332</v>
      </c>
    </row>
    <row r="29" spans="1:14" x14ac:dyDescent="0.2">
      <c r="A29" s="4" t="s">
        <v>38</v>
      </c>
      <c r="B29" s="10">
        <v>196</v>
      </c>
      <c r="C29" s="10">
        <v>195</v>
      </c>
      <c r="D29" s="10">
        <v>172</v>
      </c>
      <c r="E29" s="10">
        <v>190</v>
      </c>
      <c r="F29" s="10">
        <v>180</v>
      </c>
      <c r="G29" s="10">
        <v>177</v>
      </c>
      <c r="H29" s="10">
        <v>168</v>
      </c>
      <c r="I29" s="10">
        <v>169</v>
      </c>
      <c r="J29" s="10">
        <v>166</v>
      </c>
      <c r="K29" s="10">
        <v>165</v>
      </c>
      <c r="L29" s="10">
        <v>165</v>
      </c>
      <c r="M29" s="10">
        <v>184</v>
      </c>
      <c r="N29" s="10">
        <f t="shared" si="5"/>
        <v>2127</v>
      </c>
    </row>
    <row r="30" spans="1:14" x14ac:dyDescent="0.2">
      <c r="A30" s="4" t="s">
        <v>39</v>
      </c>
      <c r="B30" s="10">
        <v>444</v>
      </c>
      <c r="C30" s="10">
        <v>433</v>
      </c>
      <c r="D30" s="10">
        <v>445</v>
      </c>
      <c r="E30" s="10">
        <v>450</v>
      </c>
      <c r="F30" s="10">
        <v>439</v>
      </c>
      <c r="G30" s="10">
        <v>436</v>
      </c>
      <c r="H30" s="10">
        <v>463</v>
      </c>
      <c r="I30" s="10">
        <v>471</v>
      </c>
      <c r="J30" s="10">
        <v>452</v>
      </c>
      <c r="K30" s="10">
        <v>445</v>
      </c>
      <c r="L30" s="10">
        <v>451</v>
      </c>
      <c r="M30" s="10">
        <v>446</v>
      </c>
      <c r="N30" s="10">
        <f t="shared" si="5"/>
        <v>5375</v>
      </c>
    </row>
    <row r="31" spans="1:14" x14ac:dyDescent="0.2">
      <c r="A31" s="4" t="s">
        <v>40</v>
      </c>
      <c r="B31" s="10">
        <v>256</v>
      </c>
      <c r="C31" s="10">
        <v>252</v>
      </c>
      <c r="D31" s="10">
        <v>246</v>
      </c>
      <c r="E31" s="10">
        <v>260</v>
      </c>
      <c r="F31" s="10">
        <v>251</v>
      </c>
      <c r="G31" s="10">
        <v>249</v>
      </c>
      <c r="H31" s="10">
        <v>251</v>
      </c>
      <c r="I31" s="10">
        <v>243</v>
      </c>
      <c r="J31" s="10">
        <v>257</v>
      </c>
      <c r="K31" s="10">
        <v>254</v>
      </c>
      <c r="L31" s="10">
        <v>255</v>
      </c>
      <c r="M31" s="10">
        <v>237</v>
      </c>
      <c r="N31" s="10">
        <f t="shared" si="5"/>
        <v>3011</v>
      </c>
    </row>
    <row r="32" spans="1:14" x14ac:dyDescent="0.2">
      <c r="A32" s="4" t="s">
        <v>41</v>
      </c>
      <c r="B32" s="10">
        <v>250</v>
      </c>
      <c r="C32" s="10">
        <v>228</v>
      </c>
      <c r="D32" s="10">
        <v>247</v>
      </c>
      <c r="E32" s="10">
        <v>243</v>
      </c>
      <c r="F32" s="10">
        <v>247</v>
      </c>
      <c r="G32" s="10">
        <v>253</v>
      </c>
      <c r="H32" s="10">
        <v>251</v>
      </c>
      <c r="I32" s="10">
        <v>260</v>
      </c>
      <c r="J32" s="10">
        <v>238</v>
      </c>
      <c r="K32" s="10">
        <v>254</v>
      </c>
      <c r="L32" s="10">
        <v>244</v>
      </c>
      <c r="M32" s="10">
        <v>231</v>
      </c>
      <c r="N32" s="10">
        <f t="shared" si="5"/>
        <v>2946</v>
      </c>
    </row>
    <row r="33" spans="1:14" x14ac:dyDescent="0.2">
      <c r="A33" s="4" t="s">
        <v>42</v>
      </c>
      <c r="B33" s="10">
        <v>417</v>
      </c>
      <c r="C33" s="10">
        <v>417</v>
      </c>
      <c r="D33" s="10">
        <v>256</v>
      </c>
      <c r="E33" s="10">
        <v>303</v>
      </c>
      <c r="F33" s="10">
        <v>290</v>
      </c>
      <c r="G33" s="10">
        <v>301</v>
      </c>
      <c r="H33" s="10">
        <v>254</v>
      </c>
      <c r="I33" s="10">
        <v>283</v>
      </c>
      <c r="J33" s="10">
        <v>338</v>
      </c>
      <c r="K33" s="10">
        <v>369</v>
      </c>
      <c r="L33" s="10">
        <v>412</v>
      </c>
      <c r="M33" s="10">
        <v>434</v>
      </c>
      <c r="N33" s="10">
        <f t="shared" si="5"/>
        <v>4074</v>
      </c>
    </row>
    <row r="34" spans="1:14" x14ac:dyDescent="0.2">
      <c r="A34" s="4" t="s">
        <v>43</v>
      </c>
      <c r="B34" s="10">
        <v>432</v>
      </c>
      <c r="C34" s="10">
        <v>381</v>
      </c>
      <c r="D34" s="10">
        <v>226</v>
      </c>
      <c r="E34" s="10">
        <v>337</v>
      </c>
      <c r="F34" s="10">
        <v>242</v>
      </c>
      <c r="G34" s="10">
        <v>313</v>
      </c>
      <c r="H34" s="10">
        <v>246</v>
      </c>
      <c r="I34" s="10">
        <v>258</v>
      </c>
      <c r="J34" s="10">
        <v>321</v>
      </c>
      <c r="K34" s="10">
        <v>368</v>
      </c>
      <c r="L34" s="10">
        <v>441</v>
      </c>
      <c r="M34" s="10">
        <v>423</v>
      </c>
      <c r="N34" s="10">
        <f t="shared" si="5"/>
        <v>3988</v>
      </c>
    </row>
    <row r="35" spans="1:14" x14ac:dyDescent="0.2">
      <c r="A35" s="4" t="s">
        <v>44</v>
      </c>
      <c r="B35" s="10">
        <v>128</v>
      </c>
      <c r="C35" s="10">
        <v>121</v>
      </c>
      <c r="D35" s="10">
        <v>114</v>
      </c>
      <c r="E35" s="10">
        <v>132</v>
      </c>
      <c r="F35" s="10">
        <v>121</v>
      </c>
      <c r="G35" s="10">
        <v>113</v>
      </c>
      <c r="H35" s="10">
        <v>134</v>
      </c>
      <c r="I35" s="10">
        <v>118</v>
      </c>
      <c r="J35" s="10">
        <v>115</v>
      </c>
      <c r="K35" s="10">
        <v>122</v>
      </c>
      <c r="L35" s="10">
        <v>125</v>
      </c>
      <c r="M35" s="10">
        <v>140</v>
      </c>
      <c r="N35" s="10">
        <f t="shared" si="5"/>
        <v>1483</v>
      </c>
    </row>
    <row r="36" spans="1:14" x14ac:dyDescent="0.2">
      <c r="A36" s="4" t="s">
        <v>45</v>
      </c>
      <c r="B36" s="10">
        <v>136</v>
      </c>
      <c r="C36" s="10">
        <v>120</v>
      </c>
      <c r="D36" s="10">
        <v>113</v>
      </c>
      <c r="E36" s="10">
        <v>128</v>
      </c>
      <c r="F36" s="10">
        <v>130</v>
      </c>
      <c r="G36" s="10">
        <v>111</v>
      </c>
      <c r="H36" s="10">
        <v>128</v>
      </c>
      <c r="I36" s="10">
        <v>121</v>
      </c>
      <c r="J36" s="10">
        <v>111</v>
      </c>
      <c r="K36" s="10">
        <v>110</v>
      </c>
      <c r="L36" s="10">
        <v>119</v>
      </c>
      <c r="M36" s="10">
        <v>139</v>
      </c>
      <c r="N36" s="10">
        <f t="shared" si="5"/>
        <v>1466</v>
      </c>
    </row>
    <row r="37" spans="1:14" x14ac:dyDescent="0.2">
      <c r="A37" s="4" t="s">
        <v>46</v>
      </c>
      <c r="B37" s="10">
        <v>295</v>
      </c>
      <c r="C37" s="10">
        <v>226</v>
      </c>
      <c r="D37" s="10">
        <v>260</v>
      </c>
      <c r="E37" s="10">
        <v>310</v>
      </c>
      <c r="F37" s="10">
        <v>244</v>
      </c>
      <c r="G37" s="10">
        <v>274</v>
      </c>
      <c r="H37" s="10">
        <v>263</v>
      </c>
      <c r="I37" s="10">
        <v>262</v>
      </c>
      <c r="J37" s="10">
        <v>257</v>
      </c>
      <c r="K37" s="10">
        <v>267</v>
      </c>
      <c r="L37" s="10">
        <v>218</v>
      </c>
      <c r="M37" s="10">
        <v>234</v>
      </c>
      <c r="N37" s="10">
        <f t="shared" si="5"/>
        <v>3110</v>
      </c>
    </row>
    <row r="38" spans="1:14" x14ac:dyDescent="0.2">
      <c r="A38" s="4" t="s">
        <v>47</v>
      </c>
      <c r="B38" s="10">
        <v>122</v>
      </c>
      <c r="C38" s="10">
        <v>124</v>
      </c>
      <c r="D38" s="10">
        <v>133</v>
      </c>
      <c r="E38" s="10">
        <v>121</v>
      </c>
      <c r="F38" s="10">
        <v>102</v>
      </c>
      <c r="G38" s="10">
        <v>91</v>
      </c>
      <c r="H38" s="10">
        <v>153</v>
      </c>
      <c r="I38" s="10">
        <v>115</v>
      </c>
      <c r="J38" s="10">
        <v>136</v>
      </c>
      <c r="K38" s="10">
        <v>128</v>
      </c>
      <c r="L38" s="10">
        <v>112</v>
      </c>
      <c r="M38" s="10">
        <v>94</v>
      </c>
      <c r="N38" s="10">
        <f t="shared" si="5"/>
        <v>1431</v>
      </c>
    </row>
    <row r="39" spans="1:14" x14ac:dyDescent="0.2">
      <c r="A39" s="4" t="s">
        <v>48</v>
      </c>
      <c r="B39" s="10">
        <v>251</v>
      </c>
      <c r="C39" s="10">
        <v>249</v>
      </c>
      <c r="D39" s="10">
        <v>247</v>
      </c>
      <c r="E39" s="10">
        <v>249</v>
      </c>
      <c r="F39" s="10">
        <v>252</v>
      </c>
      <c r="G39" s="10">
        <v>253</v>
      </c>
      <c r="H39" s="10">
        <v>251</v>
      </c>
      <c r="I39" s="10">
        <v>251</v>
      </c>
      <c r="J39" s="10">
        <v>251</v>
      </c>
      <c r="K39" s="10">
        <v>247</v>
      </c>
      <c r="L39" s="10">
        <v>247</v>
      </c>
      <c r="M39" s="10">
        <v>249</v>
      </c>
      <c r="N39" s="10">
        <f t="shared" si="5"/>
        <v>2997</v>
      </c>
    </row>
    <row r="40" spans="1:14" x14ac:dyDescent="0.2">
      <c r="A40" s="4" t="s">
        <v>49</v>
      </c>
      <c r="B40" s="10">
        <v>224</v>
      </c>
      <c r="C40" s="10">
        <v>208</v>
      </c>
      <c r="D40" s="10">
        <v>120</v>
      </c>
      <c r="E40" s="10">
        <v>159</v>
      </c>
      <c r="F40" s="10">
        <v>132</v>
      </c>
      <c r="G40" s="10">
        <v>120</v>
      </c>
      <c r="H40" s="10">
        <v>146</v>
      </c>
      <c r="I40" s="10">
        <v>120</v>
      </c>
      <c r="J40" s="10">
        <v>170</v>
      </c>
      <c r="K40" s="10">
        <v>212</v>
      </c>
      <c r="L40" s="10">
        <v>173</v>
      </c>
      <c r="M40" s="10">
        <v>245</v>
      </c>
      <c r="N40" s="10">
        <f t="shared" si="5"/>
        <v>2029</v>
      </c>
    </row>
    <row r="41" spans="1:14" ht="15" customHeight="1" x14ac:dyDescent="0.2">
      <c r="A41" s="5" t="s">
        <v>50</v>
      </c>
      <c r="B41" s="11">
        <f t="shared" ref="B41:M41" si="6">SUM(B26:B40)</f>
        <v>5860</v>
      </c>
      <c r="C41" s="11">
        <f t="shared" si="6"/>
        <v>5768</v>
      </c>
      <c r="D41" s="11">
        <f t="shared" si="6"/>
        <v>4656</v>
      </c>
      <c r="E41" s="11">
        <f t="shared" si="6"/>
        <v>5233</v>
      </c>
      <c r="F41" s="11">
        <f t="shared" si="6"/>
        <v>4819</v>
      </c>
      <c r="G41" s="11">
        <f t="shared" si="6"/>
        <v>4842</v>
      </c>
      <c r="H41" s="11">
        <f t="shared" si="6"/>
        <v>4816</v>
      </c>
      <c r="I41" s="11">
        <f t="shared" si="6"/>
        <v>4962</v>
      </c>
      <c r="J41" s="11">
        <f t="shared" si="6"/>
        <v>5399</v>
      </c>
      <c r="K41" s="11">
        <f t="shared" si="6"/>
        <v>5522</v>
      </c>
      <c r="L41" s="11">
        <f t="shared" si="6"/>
        <v>5932</v>
      </c>
      <c r="M41" s="11">
        <f t="shared" si="6"/>
        <v>6362</v>
      </c>
      <c r="N41" s="11">
        <f t="shared" si="5"/>
        <v>64171</v>
      </c>
    </row>
    <row r="42" spans="1:14" ht="15" customHeight="1" x14ac:dyDescent="0.2">
      <c r="A42" s="6" t="s">
        <v>51</v>
      </c>
      <c r="B42" s="12">
        <f t="shared" ref="B42:N42" si="7">B22-B41</f>
        <v>2283</v>
      </c>
      <c r="C42" s="12">
        <f t="shared" si="7"/>
        <v>2450</v>
      </c>
      <c r="D42" s="12">
        <f t="shared" si="7"/>
        <v>1119</v>
      </c>
      <c r="E42" s="12">
        <f t="shared" si="7"/>
        <v>1500</v>
      </c>
      <c r="F42" s="12">
        <f t="shared" si="7"/>
        <v>1240</v>
      </c>
      <c r="G42" s="12">
        <f t="shared" si="7"/>
        <v>1150</v>
      </c>
      <c r="H42" s="12">
        <f t="shared" si="7"/>
        <v>747</v>
      </c>
      <c r="I42" s="12">
        <f t="shared" si="7"/>
        <v>1134</v>
      </c>
      <c r="J42" s="12">
        <f t="shared" si="7"/>
        <v>1981</v>
      </c>
      <c r="K42" s="12">
        <f t="shared" si="7"/>
        <v>1862</v>
      </c>
      <c r="L42" s="12">
        <f t="shared" si="7"/>
        <v>2631</v>
      </c>
      <c r="M42" s="12">
        <f t="shared" si="7"/>
        <v>3982</v>
      </c>
      <c r="N42" s="12">
        <f t="shared" si="7"/>
        <v>22079</v>
      </c>
    </row>
    <row r="43" spans="1:14" x14ac:dyDescent="0.2">
      <c r="A43" s="6" t="s">
        <v>52</v>
      </c>
      <c r="B43" s="12">
        <f t="shared" ref="B43:N43" si="8">B42</f>
        <v>2283</v>
      </c>
      <c r="C43" s="12">
        <f t="shared" si="8"/>
        <v>2450</v>
      </c>
      <c r="D43" s="12">
        <f t="shared" si="8"/>
        <v>1119</v>
      </c>
      <c r="E43" s="12">
        <f t="shared" si="8"/>
        <v>1500</v>
      </c>
      <c r="F43" s="12">
        <f t="shared" si="8"/>
        <v>1240</v>
      </c>
      <c r="G43" s="12">
        <f t="shared" si="8"/>
        <v>1150</v>
      </c>
      <c r="H43" s="12">
        <f t="shared" si="8"/>
        <v>747</v>
      </c>
      <c r="I43" s="12">
        <f t="shared" si="8"/>
        <v>1134</v>
      </c>
      <c r="J43" s="12">
        <f t="shared" si="8"/>
        <v>1981</v>
      </c>
      <c r="K43" s="12">
        <f t="shared" si="8"/>
        <v>1862</v>
      </c>
      <c r="L43" s="12">
        <f t="shared" si="8"/>
        <v>2631</v>
      </c>
      <c r="M43" s="12">
        <f t="shared" si="8"/>
        <v>3982</v>
      </c>
      <c r="N43" s="12">
        <f t="shared" si="8"/>
        <v>22079</v>
      </c>
    </row>
    <row r="44" spans="1:14" x14ac:dyDescent="0.2">
      <c r="A44" s="7" t="s">
        <v>53</v>
      </c>
      <c r="B44" s="8">
        <f t="shared" ref="B44:N44" si="9">IF(B12=0,0,B43/B12)</f>
        <v>0.12354564640943774</v>
      </c>
      <c r="C44" s="8">
        <f t="shared" si="9"/>
        <v>0.12621709340064913</v>
      </c>
      <c r="D44" s="8">
        <f t="shared" si="9"/>
        <v>8.7041070317361538E-2</v>
      </c>
      <c r="E44" s="8">
        <f t="shared" si="9"/>
        <v>9.7994381655451754E-2</v>
      </c>
      <c r="F44" s="8">
        <f t="shared" si="9"/>
        <v>9.1947204508379066E-2</v>
      </c>
      <c r="G44" s="8">
        <f t="shared" si="9"/>
        <v>8.5482791942317699E-2</v>
      </c>
      <c r="H44" s="8">
        <f t="shared" si="9"/>
        <v>5.6612353164077305E-2</v>
      </c>
      <c r="I44" s="8">
        <f t="shared" si="9"/>
        <v>7.6163610719322997E-2</v>
      </c>
      <c r="J44" s="8">
        <f t="shared" si="9"/>
        <v>0.11422475926886928</v>
      </c>
      <c r="K44" s="8">
        <f t="shared" si="9"/>
        <v>0.1086918451929251</v>
      </c>
      <c r="L44" s="8">
        <f t="shared" si="9"/>
        <v>0.12761313479167677</v>
      </c>
      <c r="M44" s="8">
        <f t="shared" si="9"/>
        <v>0.1670862705605908</v>
      </c>
      <c r="N44" s="8">
        <f t="shared" si="9"/>
        <v>0.1103955519777599</v>
      </c>
    </row>
    <row r="46" spans="1:14" ht="30" customHeight="1" x14ac:dyDescent="0.2">
      <c r="A46" s="17" t="s">
        <v>54</v>
      </c>
      <c r="B46" s="14"/>
    </row>
  </sheetData>
  <mergeCells count="6">
    <mergeCell ref="A4:B4"/>
    <mergeCell ref="A2:B2"/>
    <mergeCell ref="A3:N3"/>
    <mergeCell ref="A46:B46"/>
    <mergeCell ref="A1:B1"/>
    <mergeCell ref="A5:N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Micro_200K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Tenzin Paljor</cp:lastModifiedBy>
  <cp:revision/>
  <dcterms:created xsi:type="dcterms:W3CDTF">2026-01-30T14:09:13Z</dcterms:created>
  <dcterms:modified xsi:type="dcterms:W3CDTF">2026-01-30T15:23:21Z</dcterms:modified>
  <cp:category/>
  <cp:contentStatus/>
</cp:coreProperties>
</file>